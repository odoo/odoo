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da Licitação" sheetId="1" state="visible" r:id="rId1"/>
    <sheet xmlns:r="http://schemas.openxmlformats.org/officeDocument/2006/relationships" name="Resumo por Lote" sheetId="2" state="visible" r:id="rId2"/>
    <sheet xmlns:r="http://schemas.openxmlformats.org/officeDocument/2006/relationships" name="Cronograma de 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1A3A5C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3A5C"/>
      <sz val="9"/>
    </font>
    <font>
      <name val="Arial"/>
      <sz val="9"/>
    </font>
    <font>
      <name val="Arial"/>
      <color rgb="00000000"/>
      <sz val="8"/>
    </font>
    <font>
      <name val="Arial"/>
      <b val="1"/>
      <color rgb="00DC2626"/>
      <sz val="9"/>
    </font>
    <font>
      <name val="Arial"/>
      <b val="1"/>
      <color rgb="006B7280"/>
      <sz val="9"/>
    </font>
    <font>
      <name val="Arial"/>
      <b val="1"/>
      <color rgb="00FFFFFF"/>
      <sz val="11"/>
    </font>
    <font>
      <name val="Arial"/>
      <b val="1"/>
      <color rgb="001E40AF"/>
      <sz val="8"/>
    </font>
    <font>
      <name val="Arial"/>
      <b val="1"/>
      <color rgb="0092400E"/>
      <sz val="8"/>
    </font>
    <font>
      <name val="Arial"/>
      <b val="1"/>
      <color rgb="00166534"/>
      <sz val="8"/>
    </font>
    <font>
      <name val="Arial"/>
      <b val="1"/>
      <color rgb="001A3A5C"/>
      <sz val="7"/>
    </font>
    <font>
      <name val="Arial"/>
      <color rgb="009CA3AF"/>
      <sz val="8"/>
    </font>
    <font>
      <name val="Arial"/>
      <b val="1"/>
      <color rgb="00FFFFFF"/>
      <sz val="7"/>
    </font>
  </fonts>
  <fills count="1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E8EDF2"/>
      </patternFill>
    </fill>
    <fill>
      <patternFill patternType="solid">
        <fgColor rgb="00D6E4F0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F5F3FF"/>
      </patternFill>
    </fill>
    <fill>
      <patternFill patternType="solid">
        <fgColor rgb="00FAFAF9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EA580C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right" vertical="center"/>
    </xf>
    <xf numFmtId="4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3" fontId="6" fillId="10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right" vertical="center"/>
    </xf>
    <xf numFmtId="4" fontId="8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3" fontId="6" fillId="11" borderId="1" applyAlignment="1" pivotButton="0" quotePrefix="0" xfId="0">
      <alignment horizontal="center" vertical="center"/>
    </xf>
    <xf numFmtId="4" fontId="6" fillId="11" borderId="1" applyAlignment="1" pivotButton="0" quotePrefix="0" xfId="0">
      <alignment horizontal="right" vertical="center"/>
    </xf>
    <xf numFmtId="4" fontId="8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5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46" customWidth="1" min="4" max="4"/>
    <col width="6" customWidth="1" min="5" max="5"/>
    <col width="10" customWidth="1" min="6" max="6"/>
    <col width="12" customWidth="1" min="7" max="7"/>
    <col width="13" customWidth="1" min="8" max="8"/>
    <col width="13" customWidth="1" min="9" max="9"/>
    <col width="14" customWidth="1" min="10" max="10"/>
    <col width="9" customWidth="1" min="11" max="11"/>
    <col width="9" customWidth="1" min="12" max="12"/>
    <col width="46" customWidth="1" min="13" max="13"/>
  </cols>
  <sheetData>
    <row r="1" ht="22" customHeight="1">
      <c r="A1" s="1" t="inlineStr">
        <is>
          <t>PREFEITURA MUNICIPAL DE BORBA — SECRETARIA MUNICIPAL DE SAÚDE</t>
        </is>
      </c>
    </row>
    <row r="2" ht="18" customHeight="1">
      <c r="A2" s="2" t="inlineStr">
        <is>
          <t>TR-SMS/BORBA-001/2025 — Pregão Eletrônico — Ata de Registro de Preços</t>
        </is>
      </c>
    </row>
    <row r="3" ht="18" customHeight="1">
      <c r="A3" s="2" t="inlineStr">
        <is>
          <t>Aquisição de Materiais de Limpeza e Higiene — Lei n.º 14.133/2021 — Borba/AM</t>
        </is>
      </c>
    </row>
    <row r="4" ht="8" customHeight="1">
      <c r="A4" s="3" t="n"/>
    </row>
    <row r="5" ht="16" customHeight="1">
      <c r="A5" s="4" t="inlineStr">
        <is>
          <t xml:space="preserve">  Classe A (azul) = itens críticos de alto giro   |   Classe B (vermelho) = itens intermediários   |   Classe C (cinza) = utensílios gerais</t>
        </is>
      </c>
    </row>
    <row r="6" ht="6" customHeight="1"/>
    <row r="7" ht="36" customHeight="1">
      <c r="A7" s="5" t="inlineStr">
        <is>
          <t>Lote</t>
        </is>
      </c>
      <c r="B7" s="5" t="inlineStr">
        <is>
          <t>Item</t>
        </is>
      </c>
      <c r="C7" s="5" t="inlineStr">
        <is>
          <t>Classe</t>
        </is>
      </c>
      <c r="D7" s="5" t="inlineStr">
        <is>
          <t>Descrição do Item</t>
        </is>
      </c>
      <c r="E7" s="5" t="inlineStr">
        <is>
          <t>Un.</t>
        </is>
      </c>
      <c r="F7" s="5" t="inlineStr">
        <is>
          <t>Qtde./Mês</t>
        </is>
      </c>
      <c r="G7" s="5" t="inlineStr">
        <is>
          <t>Qtde. Anual</t>
        </is>
      </c>
      <c r="H7" s="5" t="inlineStr">
        <is>
          <t>Pr. Ref. Unit.
(R$)</t>
        </is>
      </c>
      <c r="I7" s="5" t="inlineStr">
        <is>
          <t>Valor Mensal
(R$)</t>
        </is>
      </c>
      <c r="J7" s="5" t="inlineStr">
        <is>
          <t>Valor Anual
(R$)</t>
        </is>
      </c>
      <c r="K7" s="5" t="inlineStr">
        <is>
          <t>% do Lote</t>
        </is>
      </c>
      <c r="L7" s="5" t="inlineStr">
        <is>
          <t>% do Total</t>
        </is>
      </c>
      <c r="M7" s="5" t="inlineStr">
        <is>
          <t>Especificação Técnica Resumida</t>
        </is>
      </c>
    </row>
    <row r="8" ht="17" customHeight="1">
      <c r="A8" s="6" t="inlineStr">
        <is>
          <t xml:space="preserve">  LOTE 01 — Álcoois e Antissépticos Topológicos  —  Valor estimado: R$ 820.000.00</t>
        </is>
      </c>
    </row>
    <row r="9" ht="32" customHeight="1">
      <c r="A9" s="7" t="n">
        <v>1</v>
      </c>
      <c r="B9" s="8" t="n">
        <v>1</v>
      </c>
      <c r="C9" s="9" t="inlineStr">
        <is>
          <t>A</t>
        </is>
      </c>
      <c r="D9" s="10" t="inlineStr">
        <is>
          <t>Álcool Etílico Hidratado 70% — frasco 500 mL</t>
        </is>
      </c>
      <c r="E9" s="8" t="inlineStr">
        <is>
          <t>Fr</t>
        </is>
      </c>
      <c r="F9" s="11" t="n">
        <v>1680</v>
      </c>
      <c r="G9" s="11" t="n">
        <v>20160</v>
      </c>
      <c r="H9" s="12" t="n">
        <v>7.5</v>
      </c>
      <c r="I9" s="13">
        <f>F9*H9</f>
        <v/>
      </c>
      <c r="J9" s="13">
        <f>G9*H9</f>
        <v/>
      </c>
      <c r="K9" s="14">
        <f>J9/SUM(J9:J12)</f>
        <v/>
      </c>
      <c r="L9" s="14">
        <f>J9/2000000</f>
        <v/>
      </c>
    </row>
    <row r="10" ht="32" customHeight="1">
      <c r="A10" s="7" t="n">
        <v>1</v>
      </c>
      <c r="B10" s="8" t="n">
        <v>2</v>
      </c>
      <c r="C10" s="9" t="inlineStr">
        <is>
          <t>A</t>
        </is>
      </c>
      <c r="D10" s="10" t="inlineStr">
        <is>
          <t>Álcool Etílico Hidratado 70% — galão 5 L</t>
        </is>
      </c>
      <c r="E10" s="8" t="inlineStr">
        <is>
          <t>Gl</t>
        </is>
      </c>
      <c r="F10" s="11" t="n">
        <v>168</v>
      </c>
      <c r="G10" s="11" t="n">
        <v>2016</v>
      </c>
      <c r="H10" s="12" t="n">
        <v>36</v>
      </c>
      <c r="I10" s="13">
        <f>F10*H10</f>
        <v/>
      </c>
      <c r="J10" s="13">
        <f>G10*H10</f>
        <v/>
      </c>
      <c r="K10" s="14">
        <f>J10/SUM(J9:J12)</f>
        <v/>
      </c>
      <c r="L10" s="14">
        <f>J10/2000000</f>
        <v/>
      </c>
    </row>
    <row r="11" ht="32" customHeight="1">
      <c r="A11" s="7" t="n">
        <v>1</v>
      </c>
      <c r="B11" s="8" t="n">
        <v>3</v>
      </c>
      <c r="C11" s="9" t="inlineStr">
        <is>
          <t>A</t>
        </is>
      </c>
      <c r="D11" s="10" t="inlineStr">
        <is>
          <t>Álcool Isopropílico 70% — frasco 1 L</t>
        </is>
      </c>
      <c r="E11" s="8" t="inlineStr">
        <is>
          <t>Fr</t>
        </is>
      </c>
      <c r="F11" s="11" t="n">
        <v>25</v>
      </c>
      <c r="G11" s="11" t="n">
        <v>300</v>
      </c>
      <c r="H11" s="12" t="n">
        <v>19</v>
      </c>
      <c r="I11" s="13">
        <f>F11*H11</f>
        <v/>
      </c>
      <c r="J11" s="13">
        <f>G11*H11</f>
        <v/>
      </c>
      <c r="K11" s="14">
        <f>J11/SUM(J9:J12)</f>
        <v/>
      </c>
      <c r="L11" s="14">
        <f>J11/2000000</f>
        <v/>
      </c>
    </row>
    <row r="12" ht="32" customHeight="1">
      <c r="A12" s="7" t="n">
        <v>1</v>
      </c>
      <c r="B12" s="8" t="n">
        <v>4</v>
      </c>
      <c r="C12" s="9" t="inlineStr">
        <is>
          <t>A</t>
        </is>
      </c>
      <c r="D12" s="10" t="inlineStr">
        <is>
          <t>Sabonete Antisséptico Clorexidina 2% — 1 L</t>
        </is>
      </c>
      <c r="E12" s="8" t="inlineStr">
        <is>
          <t>Fr</t>
        </is>
      </c>
      <c r="F12" s="11" t="n">
        <v>90</v>
      </c>
      <c r="G12" s="11" t="n">
        <v>1080</v>
      </c>
      <c r="H12" s="12" t="n">
        <v>18.5</v>
      </c>
      <c r="I12" s="13">
        <f>F12*H12</f>
        <v/>
      </c>
      <c r="J12" s="13">
        <f>G12*H12</f>
        <v/>
      </c>
      <c r="K12" s="14">
        <f>J12/SUM(J9:J12)</f>
        <v/>
      </c>
      <c r="L12" s="14">
        <f>J12/2000000</f>
        <v/>
      </c>
    </row>
    <row r="13" ht="17" customHeight="1">
      <c r="A13" s="6" t="inlineStr">
        <is>
          <t xml:space="preserve">  LOTE 02 — Saneantes Hospitalares  —  Valor estimado: R$ 480.000.00</t>
        </is>
      </c>
    </row>
    <row r="14" ht="32" customHeight="1">
      <c r="A14" s="15" t="n">
        <v>2</v>
      </c>
      <c r="B14" s="16" t="n">
        <v>5</v>
      </c>
      <c r="C14" s="17" t="inlineStr">
        <is>
          <t>A</t>
        </is>
      </c>
      <c r="D14" s="18" t="inlineStr">
        <is>
          <t>Detergente Enzimático Concentrado — frasco 1 L</t>
        </is>
      </c>
      <c r="E14" s="16" t="inlineStr">
        <is>
          <t>Fr</t>
        </is>
      </c>
      <c r="F14" s="19" t="n">
        <v>30</v>
      </c>
      <c r="G14" s="19" t="n">
        <v>360</v>
      </c>
      <c r="H14" s="20" t="n">
        <v>42.94</v>
      </c>
      <c r="I14" s="21">
        <f>F14*H14</f>
        <v/>
      </c>
      <c r="J14" s="21">
        <f>G14*H14</f>
        <v/>
      </c>
      <c r="K14" s="22">
        <f>J14/SUM(J14:J16)</f>
        <v/>
      </c>
      <c r="L14" s="22">
        <f>J14/2000000</f>
        <v/>
      </c>
    </row>
    <row r="15" ht="32" customHeight="1">
      <c r="A15" s="15" t="n">
        <v>2</v>
      </c>
      <c r="B15" s="16" t="n">
        <v>6</v>
      </c>
      <c r="C15" s="17" t="inlineStr">
        <is>
          <t>A</t>
        </is>
      </c>
      <c r="D15" s="18" t="inlineStr">
        <is>
          <t>Hipoclorito de Sódio 1% — embalagem 5 L</t>
        </is>
      </c>
      <c r="E15" s="16" t="inlineStr">
        <is>
          <t>Fr</t>
        </is>
      </c>
      <c r="F15" s="19" t="n">
        <v>280</v>
      </c>
      <c r="G15" s="19" t="n">
        <v>3360</v>
      </c>
      <c r="H15" s="20" t="n">
        <v>5.8</v>
      </c>
      <c r="I15" s="21">
        <f>F15*H15</f>
        <v/>
      </c>
      <c r="J15" s="21">
        <f>G15*H15</f>
        <v/>
      </c>
      <c r="K15" s="22">
        <f>J15/SUM(J14:J16)</f>
        <v/>
      </c>
      <c r="L15" s="22">
        <f>J15/2000000</f>
        <v/>
      </c>
    </row>
    <row r="16" ht="32" customHeight="1">
      <c r="A16" s="15" t="n">
        <v>2</v>
      </c>
      <c r="B16" s="16" t="n">
        <v>7</v>
      </c>
      <c r="C16" s="17" t="inlineStr">
        <is>
          <t>A</t>
        </is>
      </c>
      <c r="D16" s="18" t="inlineStr">
        <is>
          <t>Glutaraldeído 2% Tamponado — frasco 1 L</t>
        </is>
      </c>
      <c r="E16" s="16" t="inlineStr">
        <is>
          <t>Fr</t>
        </is>
      </c>
      <c r="F16" s="19" t="n">
        <v>12</v>
      </c>
      <c r="G16" s="19" t="n">
        <v>144</v>
      </c>
      <c r="H16" s="20" t="n">
        <v>65</v>
      </c>
      <c r="I16" s="21">
        <f>F16*H16</f>
        <v/>
      </c>
      <c r="J16" s="21">
        <f>G16*H16</f>
        <v/>
      </c>
      <c r="K16" s="22">
        <f>J16/SUM(J14:J16)</f>
        <v/>
      </c>
      <c r="L16" s="22">
        <f>J16/2000000</f>
        <v/>
      </c>
    </row>
    <row r="17" ht="17" customHeight="1">
      <c r="A17" s="6" t="inlineStr">
        <is>
          <t xml:space="preserve">  LOTE 03 — EPI de Limpeza e Descartáveis  —  Valor estimado: R$ 300.000.00</t>
        </is>
      </c>
    </row>
    <row r="18" ht="32" customHeight="1">
      <c r="A18" s="23" t="n">
        <v>3</v>
      </c>
      <c r="B18" s="24" t="n">
        <v>8</v>
      </c>
      <c r="C18" s="25" t="inlineStr">
        <is>
          <t>A</t>
        </is>
      </c>
      <c r="D18" s="26" t="inlineStr">
        <is>
          <t>Luva de Procedimento Látex Não Estéril M — caixa 100 un.</t>
        </is>
      </c>
      <c r="E18" s="24" t="inlineStr">
        <is>
          <t>Cx</t>
        </is>
      </c>
      <c r="F18" s="27" t="n">
        <v>80</v>
      </c>
      <c r="G18" s="27" t="n">
        <v>960</v>
      </c>
      <c r="H18" s="28" t="n">
        <v>38</v>
      </c>
      <c r="I18" s="29">
        <f>F18*H18</f>
        <v/>
      </c>
      <c r="J18" s="29">
        <f>G18*H18</f>
        <v/>
      </c>
      <c r="K18" s="30">
        <f>J18/SUM(J18:J20)</f>
        <v/>
      </c>
      <c r="L18" s="30">
        <f>J18/2000000</f>
        <v/>
      </c>
    </row>
    <row r="19" ht="32" customHeight="1">
      <c r="A19" s="23" t="n">
        <v>3</v>
      </c>
      <c r="B19" s="24" t="n">
        <v>9</v>
      </c>
      <c r="C19" s="25" t="inlineStr">
        <is>
          <t>A</t>
        </is>
      </c>
      <c r="D19" s="26" t="inlineStr">
        <is>
          <t>Avental Descartável TNT — caixa 50 un.</t>
        </is>
      </c>
      <c r="E19" s="24" t="inlineStr">
        <is>
          <t>Cx</t>
        </is>
      </c>
      <c r="F19" s="27" t="n">
        <v>30</v>
      </c>
      <c r="G19" s="27" t="n">
        <v>360</v>
      </c>
      <c r="H19" s="28" t="n">
        <v>55</v>
      </c>
      <c r="I19" s="29">
        <f>F19*H19</f>
        <v/>
      </c>
      <c r="J19" s="29">
        <f>G19*H19</f>
        <v/>
      </c>
      <c r="K19" s="30">
        <f>J19/SUM(J18:J20)</f>
        <v/>
      </c>
      <c r="L19" s="30">
        <f>J19/2000000</f>
        <v/>
      </c>
    </row>
    <row r="20" ht="32" customHeight="1">
      <c r="A20" s="23" t="n">
        <v>3</v>
      </c>
      <c r="B20" s="24" t="n">
        <v>10</v>
      </c>
      <c r="C20" s="25" t="inlineStr">
        <is>
          <t>A</t>
        </is>
      </c>
      <c r="D20" s="26" t="inlineStr">
        <is>
          <t>Papel Toalha Branco Interfolhado 2 dobras — pacote 1.000 fls.</t>
        </is>
      </c>
      <c r="E20" s="24" t="inlineStr">
        <is>
          <t>Pct</t>
        </is>
      </c>
      <c r="F20" s="27" t="n">
        <v>36</v>
      </c>
      <c r="G20" s="27" t="n">
        <v>432</v>
      </c>
      <c r="H20" s="28" t="n">
        <v>22</v>
      </c>
      <c r="I20" s="29">
        <f>F20*H20</f>
        <v/>
      </c>
      <c r="J20" s="29">
        <f>G20*H20</f>
        <v/>
      </c>
      <c r="K20" s="30">
        <f>J20/SUM(J18:J20)</f>
        <v/>
      </c>
      <c r="L20" s="30">
        <f>J20/2000000</f>
        <v/>
      </c>
    </row>
    <row r="21" ht="17" customHeight="1">
      <c r="A21" s="6" t="inlineStr">
        <is>
          <t xml:space="preserve">  LOTE 04 — Sacos para Resíduos de Saúde  —  Valor estimado: R$ 180.000.00</t>
        </is>
      </c>
    </row>
    <row r="22" ht="32" customHeight="1">
      <c r="A22" s="31" t="n">
        <v>4</v>
      </c>
      <c r="B22" s="32" t="n">
        <v>11</v>
      </c>
      <c r="C22" s="33" t="inlineStr">
        <is>
          <t>B</t>
        </is>
      </c>
      <c r="D22" s="34" t="inlineStr">
        <is>
          <t>Saco p/ Lixo Infectante Vermelho 100 L — rolo 100 un.</t>
        </is>
      </c>
      <c r="E22" s="32" t="inlineStr">
        <is>
          <t>Rl</t>
        </is>
      </c>
      <c r="F22" s="35" t="n">
        <v>60</v>
      </c>
      <c r="G22" s="35" t="n">
        <v>720</v>
      </c>
      <c r="H22" s="36" t="n">
        <v>95</v>
      </c>
      <c r="I22" s="37">
        <f>F22*H22</f>
        <v/>
      </c>
      <c r="J22" s="37">
        <f>G22*H22</f>
        <v/>
      </c>
      <c r="K22" s="38">
        <f>J22/SUM(J22:J23)</f>
        <v/>
      </c>
      <c r="L22" s="38">
        <f>J22/2000000</f>
        <v/>
      </c>
    </row>
    <row r="23" ht="32" customHeight="1">
      <c r="A23" s="31" t="n">
        <v>4</v>
      </c>
      <c r="B23" s="32" t="n">
        <v>12</v>
      </c>
      <c r="C23" s="33" t="inlineStr">
        <is>
          <t>B</t>
        </is>
      </c>
      <c r="D23" s="34" t="inlineStr">
        <is>
          <t>Saco p/ Lixo Doméstico Preto 100 L — rolo 100 un.</t>
        </is>
      </c>
      <c r="E23" s="32" t="inlineStr">
        <is>
          <t>Rl</t>
        </is>
      </c>
      <c r="F23" s="35" t="n">
        <v>40</v>
      </c>
      <c r="G23" s="35" t="n">
        <v>480</v>
      </c>
      <c r="H23" s="36" t="n">
        <v>42</v>
      </c>
      <c r="I23" s="37">
        <f>F23*H23</f>
        <v/>
      </c>
      <c r="J23" s="37">
        <f>G23*H23</f>
        <v/>
      </c>
      <c r="K23" s="38">
        <f>J23/SUM(J22:J23)</f>
        <v/>
      </c>
      <c r="L23" s="38">
        <f>J23/2000000</f>
        <v/>
      </c>
    </row>
    <row r="24" ht="17" customHeight="1">
      <c r="A24" s="6" t="inlineStr">
        <is>
          <t xml:space="preserve">  LOTE 05 — Desinfetantes e Complementares  —  Valor estimado: R$ 120.000.00</t>
        </is>
      </c>
    </row>
    <row r="25" ht="32" customHeight="1">
      <c r="A25" s="39" t="n">
        <v>5</v>
      </c>
      <c r="B25" s="40" t="n">
        <v>13</v>
      </c>
      <c r="C25" s="41" t="inlineStr">
        <is>
          <t>B</t>
        </is>
      </c>
      <c r="D25" s="42" t="inlineStr">
        <is>
          <t>Desinfetante Quaternário de Amônio — embalagem 5 L</t>
        </is>
      </c>
      <c r="E25" s="40" t="inlineStr">
        <is>
          <t>Fr</t>
        </is>
      </c>
      <c r="F25" s="43" t="n">
        <v>45</v>
      </c>
      <c r="G25" s="43" t="n">
        <v>540</v>
      </c>
      <c r="H25" s="44" t="n">
        <v>28</v>
      </c>
      <c r="I25" s="45">
        <f>F25*H25</f>
        <v/>
      </c>
      <c r="J25" s="45">
        <f>G25*H25</f>
        <v/>
      </c>
      <c r="K25" s="46">
        <f>J25/SUM(J25:J27)</f>
        <v/>
      </c>
      <c r="L25" s="46">
        <f>J25/2000000</f>
        <v/>
      </c>
    </row>
    <row r="26" ht="32" customHeight="1">
      <c r="A26" s="39" t="n">
        <v>5</v>
      </c>
      <c r="B26" s="40" t="n">
        <v>14</v>
      </c>
      <c r="C26" s="41" t="inlineStr">
        <is>
          <t>B</t>
        </is>
      </c>
      <c r="D26" s="42" t="inlineStr">
        <is>
          <t>Sabão em Pó Multiuso — embalagem 1 kg</t>
        </is>
      </c>
      <c r="E26" s="40" t="inlineStr">
        <is>
          <t>Pct</t>
        </is>
      </c>
      <c r="F26" s="43" t="n">
        <v>50</v>
      </c>
      <c r="G26" s="43" t="n">
        <v>600</v>
      </c>
      <c r="H26" s="44" t="n">
        <v>9.5</v>
      </c>
      <c r="I26" s="45">
        <f>F26*H26</f>
        <v/>
      </c>
      <c r="J26" s="45">
        <f>G26*H26</f>
        <v/>
      </c>
      <c r="K26" s="46">
        <f>J26/SUM(J25:J27)</f>
        <v/>
      </c>
      <c r="L26" s="46">
        <f>J26/2000000</f>
        <v/>
      </c>
    </row>
    <row r="27" ht="32" customHeight="1">
      <c r="A27" s="39" t="n">
        <v>5</v>
      </c>
      <c r="B27" s="40" t="n">
        <v>15</v>
      </c>
      <c r="C27" s="41" t="inlineStr">
        <is>
          <t>B</t>
        </is>
      </c>
      <c r="D27" s="42" t="inlineStr">
        <is>
          <t>Detergente Líquido Neutro Concentrado — frasco 500 mL</t>
        </is>
      </c>
      <c r="E27" s="40" t="inlineStr">
        <is>
          <t>Fr</t>
        </is>
      </c>
      <c r="F27" s="43" t="n">
        <v>60</v>
      </c>
      <c r="G27" s="43" t="n">
        <v>720</v>
      </c>
      <c r="H27" s="44" t="n">
        <v>3.8</v>
      </c>
      <c r="I27" s="45">
        <f>F27*H27</f>
        <v/>
      </c>
      <c r="J27" s="45">
        <f>G27*H27</f>
        <v/>
      </c>
      <c r="K27" s="46">
        <f>J27/SUM(J25:J27)</f>
        <v/>
      </c>
      <c r="L27" s="46">
        <f>J27/2000000</f>
        <v/>
      </c>
    </row>
    <row r="28" ht="17" customHeight="1">
      <c r="A28" s="6" t="inlineStr">
        <is>
          <t xml:space="preserve">  LOTE 06 — Utensílios de Limpeza e Consumíveis  —  Valor estimado: R$ 100.000.00</t>
        </is>
      </c>
    </row>
    <row r="29" ht="32" customHeight="1">
      <c r="A29" s="47" t="n">
        <v>6</v>
      </c>
      <c r="B29" s="48" t="n">
        <v>16</v>
      </c>
      <c r="C29" s="49" t="inlineStr">
        <is>
          <t>C</t>
        </is>
      </c>
      <c r="D29" s="50" t="inlineStr">
        <is>
          <t>Água Sanitária — embalagem 2 L</t>
        </is>
      </c>
      <c r="E29" s="48" t="inlineStr">
        <is>
          <t>Fr</t>
        </is>
      </c>
      <c r="F29" s="51" t="n">
        <v>120</v>
      </c>
      <c r="G29" s="51" t="n">
        <v>1440</v>
      </c>
      <c r="H29" s="52" t="n">
        <v>5.2</v>
      </c>
      <c r="I29" s="53">
        <f>F29*H29</f>
        <v/>
      </c>
      <c r="J29" s="53">
        <f>G29*H29</f>
        <v/>
      </c>
      <c r="K29" s="54">
        <f>J29/SUM(J29:J34)</f>
        <v/>
      </c>
      <c r="L29" s="54">
        <f>J29/2000000</f>
        <v/>
      </c>
    </row>
    <row r="30" ht="32" customHeight="1">
      <c r="A30" s="47" t="n">
        <v>6</v>
      </c>
      <c r="B30" s="48" t="n">
        <v>17</v>
      </c>
      <c r="C30" s="49" t="inlineStr">
        <is>
          <t>C</t>
        </is>
      </c>
      <c r="D30" s="50" t="inlineStr">
        <is>
          <t>Vassoura Nylon Profissional</t>
        </is>
      </c>
      <c r="E30" s="48" t="inlineStr">
        <is>
          <t>Un</t>
        </is>
      </c>
      <c r="F30" s="51" t="n">
        <v>12</v>
      </c>
      <c r="G30" s="51" t="n">
        <v>144</v>
      </c>
      <c r="H30" s="52" t="n">
        <v>18</v>
      </c>
      <c r="I30" s="53">
        <f>F30*H30</f>
        <v/>
      </c>
      <c r="J30" s="53">
        <f>G30*H30</f>
        <v/>
      </c>
      <c r="K30" s="54">
        <f>J30/SUM(J29:J34)</f>
        <v/>
      </c>
      <c r="L30" s="54">
        <f>J30/2000000</f>
        <v/>
      </c>
    </row>
    <row r="31" ht="32" customHeight="1">
      <c r="A31" s="47" t="n">
        <v>6</v>
      </c>
      <c r="B31" s="48" t="n">
        <v>18</v>
      </c>
      <c r="C31" s="49" t="inlineStr">
        <is>
          <t>C</t>
        </is>
      </c>
      <c r="D31" s="50" t="inlineStr">
        <is>
          <t>Rodo 60 cm — Cabo Alumínio</t>
        </is>
      </c>
      <c r="E31" s="48" t="inlineStr">
        <is>
          <t>Un</t>
        </is>
      </c>
      <c r="F31" s="51" t="n">
        <v>10</v>
      </c>
      <c r="G31" s="51" t="n">
        <v>120</v>
      </c>
      <c r="H31" s="52" t="n">
        <v>22</v>
      </c>
      <c r="I31" s="53">
        <f>F31*H31</f>
        <v/>
      </c>
      <c r="J31" s="53">
        <f>G31*H31</f>
        <v/>
      </c>
      <c r="K31" s="54">
        <f>J31/SUM(J29:J34)</f>
        <v/>
      </c>
      <c r="L31" s="54">
        <f>J31/2000000</f>
        <v/>
      </c>
    </row>
    <row r="32" ht="32" customHeight="1">
      <c r="A32" s="47" t="n">
        <v>6</v>
      </c>
      <c r="B32" s="48" t="n">
        <v>19</v>
      </c>
      <c r="C32" s="49" t="inlineStr">
        <is>
          <t>C</t>
        </is>
      </c>
      <c r="D32" s="50" t="inlineStr">
        <is>
          <t>Pano de Chão Algodão 55×75 cm</t>
        </is>
      </c>
      <c r="E32" s="48" t="inlineStr">
        <is>
          <t>Un</t>
        </is>
      </c>
      <c r="F32" s="51" t="n">
        <v>30</v>
      </c>
      <c r="G32" s="51" t="n">
        <v>360</v>
      </c>
      <c r="H32" s="52" t="n">
        <v>7.5</v>
      </c>
      <c r="I32" s="53">
        <f>F32*H32</f>
        <v/>
      </c>
      <c r="J32" s="53">
        <f>G32*H32</f>
        <v/>
      </c>
      <c r="K32" s="54">
        <f>J32/SUM(J29:J34)</f>
        <v/>
      </c>
      <c r="L32" s="54">
        <f>J32/2000000</f>
        <v/>
      </c>
    </row>
    <row r="33" ht="32" customHeight="1">
      <c r="A33" s="47" t="n">
        <v>6</v>
      </c>
      <c r="B33" s="48" t="n">
        <v>20</v>
      </c>
      <c r="C33" s="49" t="inlineStr">
        <is>
          <t>C</t>
        </is>
      </c>
      <c r="D33" s="50" t="inlineStr">
        <is>
          <t>Balde Plástico 20 L c/ Alça Metálica</t>
        </is>
      </c>
      <c r="E33" s="48" t="inlineStr">
        <is>
          <t>Un</t>
        </is>
      </c>
      <c r="F33" s="51" t="n">
        <v>5</v>
      </c>
      <c r="G33" s="51" t="n">
        <v>60</v>
      </c>
      <c r="H33" s="52" t="n">
        <v>25</v>
      </c>
      <c r="I33" s="53">
        <f>F33*H33</f>
        <v/>
      </c>
      <c r="J33" s="53">
        <f>G33*H33</f>
        <v/>
      </c>
      <c r="K33" s="54">
        <f>J33/SUM(J29:J34)</f>
        <v/>
      </c>
      <c r="L33" s="54">
        <f>J33/2000000</f>
        <v/>
      </c>
    </row>
    <row r="34" ht="32" customHeight="1">
      <c r="A34" s="47" t="n">
        <v>6</v>
      </c>
      <c r="B34" s="48" t="n">
        <v>21</v>
      </c>
      <c r="C34" s="49" t="inlineStr">
        <is>
          <t>C</t>
        </is>
      </c>
      <c r="D34" s="50" t="inlineStr">
        <is>
          <t>Esponja Dupla Face Verde/Amarela</t>
        </is>
      </c>
      <c r="E34" s="48" t="inlineStr">
        <is>
          <t>Un</t>
        </is>
      </c>
      <c r="F34" s="51" t="n">
        <v>40</v>
      </c>
      <c r="G34" s="51" t="n">
        <v>480</v>
      </c>
      <c r="H34" s="52" t="n">
        <v>3.5</v>
      </c>
      <c r="I34" s="53">
        <f>F34*H34</f>
        <v/>
      </c>
      <c r="J34" s="53">
        <f>G34*H34</f>
        <v/>
      </c>
      <c r="K34" s="54">
        <f>J34/SUM(J29:J34)</f>
        <v/>
      </c>
      <c r="L34" s="54">
        <f>J34/2000000</f>
        <v/>
      </c>
    </row>
    <row r="36" ht="22" customHeight="1">
      <c r="A36" s="55" t="inlineStr">
        <is>
          <t>TOTAL GERAL (21 itens — 6 lotes — 12 meses)</t>
        </is>
      </c>
      <c r="I36" s="56">
        <f>SUM(I9:I34)</f>
        <v/>
      </c>
      <c r="J36" s="56">
        <f>SUM(J9:J34)</f>
        <v/>
      </c>
      <c r="K36" s="57" t="inlineStr">
        <is>
          <t>100%</t>
        </is>
      </c>
      <c r="L36" s="57" t="inlineStr">
        <is>
          <t>100%</t>
        </is>
      </c>
      <c r="M36" s="58" t="inlineStr"/>
    </row>
  </sheetData>
  <mergeCells count="12">
    <mergeCell ref="A13:M13"/>
    <mergeCell ref="A1:M1"/>
    <mergeCell ref="A5:M5"/>
    <mergeCell ref="A8:M8"/>
    <mergeCell ref="A17:M17"/>
    <mergeCell ref="A4:M4"/>
    <mergeCell ref="A3:M3"/>
    <mergeCell ref="A21:M21"/>
    <mergeCell ref="A36:H36"/>
    <mergeCell ref="A24:M24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8" customWidth="1" min="4" max="4"/>
    <col width="18" customWidth="1" min="5" max="5"/>
    <col width="10" customWidth="1" min="6" max="6"/>
    <col width="22" customWidth="1" min="7" max="7"/>
  </cols>
  <sheetData>
    <row r="1" ht="22" customHeight="1">
      <c r="A1" s="1" t="inlineStr">
        <is>
          <t>RESUMO POR LOTE — TR-SMS/BORBA-001/2025</t>
        </is>
      </c>
    </row>
    <row r="2" ht="18" customHeight="1">
      <c r="A2" s="2" t="inlineStr">
        <is>
          <t>Aquisição de Materiais de Limpeza e Higiene — SMS Borba/AM</t>
        </is>
      </c>
    </row>
    <row r="3" ht="10" customHeight="1"/>
    <row r="4" ht="28" customHeight="1">
      <c r="A4" s="5" t="inlineStr">
        <is>
          <t>Lote</t>
        </is>
      </c>
      <c r="B4" s="5" t="inlineStr">
        <is>
          <t>Descrição do Lote</t>
        </is>
      </c>
      <c r="C4" s="5" t="inlineStr">
        <is>
          <t>Classe</t>
        </is>
      </c>
      <c r="D4" s="5" t="inlineStr">
        <is>
          <t>N.º Itens</t>
        </is>
      </c>
      <c r="E4" s="5" t="inlineStr">
        <is>
          <t>Valor Estimado (R$)</t>
        </is>
      </c>
      <c r="F4" s="5" t="inlineStr">
        <is>
          <t>% do Total</t>
        </is>
      </c>
      <c r="G4" s="5" t="inlineStr">
        <is>
          <t>Modalidade</t>
        </is>
      </c>
    </row>
    <row r="5" ht="18" customHeight="1">
      <c r="A5" s="7" t="n">
        <v>1</v>
      </c>
      <c r="B5" s="10" t="inlineStr">
        <is>
          <t>Álcoois e Antissépticos Topológicos</t>
        </is>
      </c>
      <c r="C5" s="7" t="inlineStr">
        <is>
          <t>A</t>
        </is>
      </c>
      <c r="D5" s="8" t="n">
        <v>4</v>
      </c>
      <c r="E5" s="12" t="n">
        <v>820000</v>
      </c>
      <c r="F5" s="14">
        <f>E5/2000000</f>
        <v/>
      </c>
      <c r="G5" s="8" t="inlineStr">
        <is>
          <t>Pregão Eletrônico — ARP</t>
        </is>
      </c>
    </row>
    <row r="6" ht="18" customHeight="1">
      <c r="A6" s="15" t="n">
        <v>2</v>
      </c>
      <c r="B6" s="18" t="inlineStr">
        <is>
          <t>Saneantes Hospitalares</t>
        </is>
      </c>
      <c r="C6" s="15" t="inlineStr">
        <is>
          <t>A</t>
        </is>
      </c>
      <c r="D6" s="16" t="n">
        <v>3</v>
      </c>
      <c r="E6" s="20" t="n">
        <v>480000</v>
      </c>
      <c r="F6" s="22">
        <f>E6/2000000</f>
        <v/>
      </c>
      <c r="G6" s="16" t="inlineStr">
        <is>
          <t>Pregão Eletrônico — ARP</t>
        </is>
      </c>
    </row>
    <row r="7" ht="18" customHeight="1">
      <c r="A7" s="23" t="n">
        <v>3</v>
      </c>
      <c r="B7" s="26" t="inlineStr">
        <is>
          <t>EPI de Limpeza e Descartáveis</t>
        </is>
      </c>
      <c r="C7" s="23" t="inlineStr">
        <is>
          <t>A</t>
        </is>
      </c>
      <c r="D7" s="24" t="n">
        <v>3</v>
      </c>
      <c r="E7" s="28" t="n">
        <v>300000</v>
      </c>
      <c r="F7" s="30">
        <f>E7/2000000</f>
        <v/>
      </c>
      <c r="G7" s="24" t="inlineStr">
        <is>
          <t>Pregão Eletrônico — ARP</t>
        </is>
      </c>
    </row>
    <row r="8" ht="18" customHeight="1">
      <c r="A8" s="31" t="n">
        <v>4</v>
      </c>
      <c r="B8" s="34" t="inlineStr">
        <is>
          <t>Sacos para Resíduos de Saúde e Comuns</t>
        </is>
      </c>
      <c r="C8" s="31" t="inlineStr">
        <is>
          <t>B</t>
        </is>
      </c>
      <c r="D8" s="32" t="n">
        <v>2</v>
      </c>
      <c r="E8" s="36" t="n">
        <v>180000</v>
      </c>
      <c r="F8" s="38">
        <f>E8/2000000</f>
        <v/>
      </c>
      <c r="G8" s="32" t="inlineStr">
        <is>
          <t>Pregão Eletrônico — ARP</t>
        </is>
      </c>
    </row>
    <row r="9" ht="18" customHeight="1">
      <c r="A9" s="39" t="n">
        <v>5</v>
      </c>
      <c r="B9" s="42" t="inlineStr">
        <is>
          <t>Desinfetantes, Sabonetes e Complementares</t>
        </is>
      </c>
      <c r="C9" s="39" t="inlineStr">
        <is>
          <t>B</t>
        </is>
      </c>
      <c r="D9" s="40" t="n">
        <v>3</v>
      </c>
      <c r="E9" s="44" t="n">
        <v>120000</v>
      </c>
      <c r="F9" s="46">
        <f>E9/2000000</f>
        <v/>
      </c>
      <c r="G9" s="40" t="inlineStr">
        <is>
          <t>Pregão Eletrônico — ARP</t>
        </is>
      </c>
    </row>
    <row r="10" ht="18" customHeight="1">
      <c r="A10" s="47" t="n">
        <v>6</v>
      </c>
      <c r="B10" s="50" t="inlineStr">
        <is>
          <t>Utensílios de Limpeza e Consumíveis Gerais</t>
        </is>
      </c>
      <c r="C10" s="47" t="inlineStr">
        <is>
          <t>C</t>
        </is>
      </c>
      <c r="D10" s="48" t="n">
        <v>6</v>
      </c>
      <c r="E10" s="52" t="n">
        <v>100000</v>
      </c>
      <c r="F10" s="54">
        <f>E10/2000000</f>
        <v/>
      </c>
      <c r="G10" s="48" t="inlineStr">
        <is>
          <t>Pregão Eletrônico — ARP</t>
        </is>
      </c>
    </row>
    <row r="11" ht="20" customHeight="1">
      <c r="A11" s="59" t="inlineStr">
        <is>
          <t>TOTAL GERAL</t>
        </is>
      </c>
      <c r="E11" s="56">
        <f>SUM(E5:E10)</f>
        <v/>
      </c>
      <c r="F11" s="60">
        <f>SUM(F5:F10)</f>
        <v/>
      </c>
      <c r="G11" s="61" t="n"/>
    </row>
    <row r="13" ht="16" customHeight="1">
      <c r="A13" s="62" t="inlineStr">
        <is>
          <t>Número do TR:</t>
        </is>
      </c>
      <c r="B13" s="63" t="inlineStr">
        <is>
          <t>TR-SMS/BORBA-001/2025</t>
        </is>
      </c>
    </row>
    <row r="14" ht="16" customHeight="1">
      <c r="A14" s="62" t="inlineStr">
        <is>
          <t>Modalidade:</t>
        </is>
      </c>
      <c r="B14" s="63" t="inlineStr">
        <is>
          <t>Pregão Eletrônico — Sistema de Registro de Preços</t>
        </is>
      </c>
    </row>
    <row r="15" ht="16" customHeight="1">
      <c r="A15" s="62" t="inlineStr">
        <is>
          <t>Critério de julgamento:</t>
        </is>
      </c>
      <c r="B15" s="63" t="inlineStr">
        <is>
          <t>Menor Preço por Lote (Art. 33, I — Lei 14.133/2021)</t>
        </is>
      </c>
    </row>
    <row r="16" ht="16" customHeight="1">
      <c r="A16" s="62" t="inlineStr">
        <is>
          <t>Vigência da ARP:</t>
        </is>
      </c>
      <c r="B16" s="63" t="inlineStr">
        <is>
          <t>12 meses, prorrogável (Art. 84, §1.º — Lei 14.133/2021)</t>
        </is>
      </c>
    </row>
    <row r="17" ht="16" customHeight="1">
      <c r="A17" s="62" t="inlineStr">
        <is>
          <t>Entrega:</t>
        </is>
      </c>
      <c r="B17" s="63" t="inlineStr">
        <is>
          <t>CIF Borba/AM — frete fluvial Manaus–Borba incluso</t>
        </is>
      </c>
    </row>
    <row r="18" ht="16" customHeight="1">
      <c r="A18" s="62" t="inlineStr">
        <is>
          <t>Total de lotes:</t>
        </is>
      </c>
      <c r="B18" s="63" t="inlineStr">
        <is>
          <t>6</t>
        </is>
      </c>
    </row>
    <row r="19" ht="16" customHeight="1">
      <c r="A19" s="62" t="inlineStr">
        <is>
          <t>Total de itens:</t>
        </is>
      </c>
      <c r="B19" s="63" t="inlineStr">
        <is>
          <t>21</t>
        </is>
      </c>
    </row>
    <row r="20" ht="16" customHeight="1">
      <c r="A20" s="62" t="inlineStr">
        <is>
          <t>Valor total estimado:</t>
        </is>
      </c>
      <c r="B20" s="63" t="inlineStr">
        <is>
          <t>R$ 2.000.000,00 (dois milhões de reais)</t>
        </is>
      </c>
    </row>
    <row r="21" ht="16" customHeight="1">
      <c r="A21" s="62" t="inlineStr">
        <is>
          <t>Registro ANVISA:</t>
        </is>
      </c>
      <c r="B21" s="63" t="inlineStr">
        <is>
          <t>Obrigatório para todos os itens dos Lotes 01 a 05</t>
        </is>
      </c>
    </row>
    <row r="22" ht="16" customHeight="1">
      <c r="A22" s="62" t="inlineStr">
        <is>
          <t>Base legal:</t>
        </is>
      </c>
      <c r="B22" s="63" t="inlineStr">
        <is>
          <t>Lei n.º 14.133/2021 e Decreto n.º 11.462/2023 (SRP)</t>
        </is>
      </c>
    </row>
    <row r="23" ht="16" customHeight="1">
      <c r="A23" s="62" t="inlineStr">
        <is>
          <t>Elaborado por:</t>
        </is>
      </c>
      <c r="B23" s="63" t="inlineStr">
        <is>
          <t>Secretaria Municipal de Saúde de Borba/AM — 2025</t>
        </is>
      </c>
    </row>
  </sheetData>
  <mergeCells count="14">
    <mergeCell ref="B16:G16"/>
    <mergeCell ref="B19:G19"/>
    <mergeCell ref="B20:G20"/>
    <mergeCell ref="A1:G1"/>
    <mergeCell ref="B22:G22"/>
    <mergeCell ref="B14:G14"/>
    <mergeCell ref="B17:G17"/>
    <mergeCell ref="B23:G23"/>
    <mergeCell ref="A2:G2"/>
    <mergeCell ref="B18:G18"/>
    <mergeCell ref="B13:G13"/>
    <mergeCell ref="A11:D11"/>
    <mergeCell ref="B21:G21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2" customHeight="1">
      <c r="A1" s="64" t="inlineStr">
        <is>
          <t>CRONOGRAMA ORIENTATIVO DE ORDENS DE FORNECIMENTO — ARP 2025/2026</t>
        </is>
      </c>
    </row>
    <row r="2" ht="16" customHeight="1">
      <c r="A2" s="65" t="inlineStr">
        <is>
          <t>Calibrado ao ciclo hidrológico do Rio Madeira (cheia: jan–jun | seca: jul–out | transição: nov–dez)</t>
        </is>
      </c>
    </row>
    <row r="3" ht="8" customHeight="1"/>
    <row r="4" ht="32" customHeight="1">
      <c r="A4" s="66" t="inlineStr">
        <is>
          <t>Lote / Item</t>
        </is>
      </c>
      <c r="B4" s="67" t="inlineStr">
        <is>
          <t>Jan
(CHEIA)</t>
        </is>
      </c>
      <c r="C4" s="67" t="inlineStr">
        <is>
          <t>Fev
(CHEIA)</t>
        </is>
      </c>
      <c r="D4" s="67" t="inlineStr">
        <is>
          <t>Mar
(CHEIA)</t>
        </is>
      </c>
      <c r="E4" s="67" t="inlineStr">
        <is>
          <t>Abr
(CHEIA)</t>
        </is>
      </c>
      <c r="F4" s="67" t="inlineStr">
        <is>
          <t>Mai
(CHEIA)</t>
        </is>
      </c>
      <c r="G4" s="67" t="inlineStr">
        <is>
          <t>Jun
(CHEIA)</t>
        </is>
      </c>
      <c r="H4" s="68" t="inlineStr">
        <is>
          <t>Jul
(SECA)</t>
        </is>
      </c>
      <c r="I4" s="68" t="inlineStr">
        <is>
          <t>Ago
(SECA)</t>
        </is>
      </c>
      <c r="J4" s="68" t="inlineStr">
        <is>
          <t>Set
(SECA)</t>
        </is>
      </c>
      <c r="K4" s="68" t="inlineStr">
        <is>
          <t>Out
(SECA)</t>
        </is>
      </c>
      <c r="L4" s="69" t="inlineStr">
        <is>
          <t>Nov
(TRANS.)</t>
        </is>
      </c>
      <c r="M4" s="69" t="inlineStr">
        <is>
          <t>Dez
(TRANS.)</t>
        </is>
      </c>
    </row>
    <row r="5" ht="28" customHeight="1">
      <c r="A5" s="10" t="inlineStr">
        <is>
          <t>Lote 01 — Álcoois e Antissépticos (Cl. A)</t>
        </is>
      </c>
      <c r="B5" s="70" t="inlineStr">
        <is>
          <t>OF
30–45 d</t>
        </is>
      </c>
      <c r="C5" s="71" t="inlineStr">
        <is>
          <t>—</t>
        </is>
      </c>
      <c r="D5" s="70" t="inlineStr">
        <is>
          <t>OF
30–45 d</t>
        </is>
      </c>
      <c r="E5" s="71" t="inlineStr">
        <is>
          <t>—</t>
        </is>
      </c>
      <c r="F5" s="70" t="inlineStr">
        <is>
          <t>OF
30–45 d</t>
        </is>
      </c>
      <c r="G5" s="71" t="inlineStr">
        <is>
          <t>—</t>
        </is>
      </c>
      <c r="H5" s="72" t="inlineStr">
        <is>
          <t>OF
45–60 d</t>
        </is>
      </c>
      <c r="I5" s="71" t="inlineStr">
        <is>
          <t>—</t>
        </is>
      </c>
      <c r="J5" s="72" t="inlineStr">
        <is>
          <t>OF
45–60 d</t>
        </is>
      </c>
      <c r="K5" s="71" t="inlineStr">
        <is>
          <t>—</t>
        </is>
      </c>
      <c r="L5" s="73" t="inlineStr">
        <is>
          <t>OF
30 d</t>
        </is>
      </c>
      <c r="M5" s="73" t="inlineStr">
        <is>
          <t>OF
30 d</t>
        </is>
      </c>
    </row>
    <row r="6" ht="28" customHeight="1">
      <c r="A6" s="18" t="inlineStr">
        <is>
          <t>Lote 02 — Saneantes Hospitalares (Cl. A)</t>
        </is>
      </c>
      <c r="B6" s="70" t="inlineStr">
        <is>
          <t>OF
30–45 d</t>
        </is>
      </c>
      <c r="C6" s="74" t="inlineStr">
        <is>
          <t>—</t>
        </is>
      </c>
      <c r="D6" s="74" t="inlineStr">
        <is>
          <t>—</t>
        </is>
      </c>
      <c r="E6" s="70" t="inlineStr">
        <is>
          <t>OF
30–45 d</t>
        </is>
      </c>
      <c r="F6" s="74" t="inlineStr">
        <is>
          <t>—</t>
        </is>
      </c>
      <c r="G6" s="74" t="inlineStr">
        <is>
          <t>—</t>
        </is>
      </c>
      <c r="H6" s="72" t="inlineStr">
        <is>
          <t>OF
45–60 d</t>
        </is>
      </c>
      <c r="I6" s="74" t="inlineStr">
        <is>
          <t>—</t>
        </is>
      </c>
      <c r="J6" s="74" t="inlineStr">
        <is>
          <t>—</t>
        </is>
      </c>
      <c r="K6" s="72" t="inlineStr">
        <is>
          <t>OF
45–60 d</t>
        </is>
      </c>
      <c r="L6" s="74" t="inlineStr">
        <is>
          <t>—</t>
        </is>
      </c>
      <c r="M6" s="73" t="inlineStr">
        <is>
          <t>OF
30 d</t>
        </is>
      </c>
    </row>
    <row r="7" ht="28" customHeight="1">
      <c r="A7" s="26" t="inlineStr">
        <is>
          <t>Lote 03 — EPI e Descartáveis (Cl. A)</t>
        </is>
      </c>
      <c r="B7" s="75" t="inlineStr">
        <is>
          <t>—</t>
        </is>
      </c>
      <c r="C7" s="70" t="inlineStr">
        <is>
          <t>OF
30–45 d</t>
        </is>
      </c>
      <c r="D7" s="75" t="inlineStr">
        <is>
          <t>—</t>
        </is>
      </c>
      <c r="E7" s="75" t="inlineStr">
        <is>
          <t>—</t>
        </is>
      </c>
      <c r="F7" s="70" t="inlineStr">
        <is>
          <t>OF
30–45 d</t>
        </is>
      </c>
      <c r="G7" s="75" t="inlineStr">
        <is>
          <t>—</t>
        </is>
      </c>
      <c r="H7" s="75" t="inlineStr">
        <is>
          <t>—</t>
        </is>
      </c>
      <c r="I7" s="72" t="inlineStr">
        <is>
          <t>OF
45–60 d</t>
        </is>
      </c>
      <c r="J7" s="75" t="inlineStr">
        <is>
          <t>—</t>
        </is>
      </c>
      <c r="K7" s="75" t="inlineStr">
        <is>
          <t>—</t>
        </is>
      </c>
      <c r="L7" s="73" t="inlineStr">
        <is>
          <t>OF
30 d</t>
        </is>
      </c>
      <c r="M7" s="75" t="inlineStr">
        <is>
          <t>—</t>
        </is>
      </c>
    </row>
    <row r="8" ht="28" customHeight="1">
      <c r="A8" s="34" t="inlineStr">
        <is>
          <t>Lote 04 — Sacos para Resíduos (Cl. B)</t>
        </is>
      </c>
      <c r="B8" s="70" t="inlineStr">
        <is>
          <t>OF
30–45 d</t>
        </is>
      </c>
      <c r="C8" s="76" t="inlineStr">
        <is>
          <t>—</t>
        </is>
      </c>
      <c r="D8" s="76" t="inlineStr">
        <is>
          <t>—</t>
        </is>
      </c>
      <c r="E8" s="76" t="inlineStr">
        <is>
          <t>—</t>
        </is>
      </c>
      <c r="F8" s="70" t="inlineStr">
        <is>
          <t>OF
30–45 d</t>
        </is>
      </c>
      <c r="G8" s="76" t="inlineStr">
        <is>
          <t>—</t>
        </is>
      </c>
      <c r="H8" s="76" t="inlineStr">
        <is>
          <t>—</t>
        </is>
      </c>
      <c r="I8" s="76" t="inlineStr">
        <is>
          <t>—</t>
        </is>
      </c>
      <c r="J8" s="72" t="inlineStr">
        <is>
          <t>OF
45–60 d</t>
        </is>
      </c>
      <c r="K8" s="76" t="inlineStr">
        <is>
          <t>—</t>
        </is>
      </c>
      <c r="L8" s="76" t="inlineStr">
        <is>
          <t>—</t>
        </is>
      </c>
      <c r="M8" s="73" t="inlineStr">
        <is>
          <t>OF
30 d</t>
        </is>
      </c>
    </row>
    <row r="9" ht="28" customHeight="1">
      <c r="A9" s="42" t="inlineStr">
        <is>
          <t>Lote 05 — Desinfetantes e Compl. (Cl. B)</t>
        </is>
      </c>
      <c r="B9" s="77" t="inlineStr">
        <is>
          <t>—</t>
        </is>
      </c>
      <c r="C9" s="70" t="inlineStr">
        <is>
          <t>OF
30–45 d</t>
        </is>
      </c>
      <c r="D9" s="77" t="inlineStr">
        <is>
          <t>—</t>
        </is>
      </c>
      <c r="E9" s="77" t="inlineStr">
        <is>
          <t>—</t>
        </is>
      </c>
      <c r="F9" s="77" t="inlineStr">
        <is>
          <t>—</t>
        </is>
      </c>
      <c r="G9" s="70" t="inlineStr">
        <is>
          <t>OF
30–45 d</t>
        </is>
      </c>
      <c r="H9" s="77" t="inlineStr">
        <is>
          <t>—</t>
        </is>
      </c>
      <c r="I9" s="77" t="inlineStr">
        <is>
          <t>—</t>
        </is>
      </c>
      <c r="J9" s="77" t="inlineStr">
        <is>
          <t>—</t>
        </is>
      </c>
      <c r="K9" s="72" t="inlineStr">
        <is>
          <t>OF
45–60 d</t>
        </is>
      </c>
      <c r="L9" s="77" t="inlineStr">
        <is>
          <t>—</t>
        </is>
      </c>
      <c r="M9" s="77" t="inlineStr">
        <is>
          <t>—</t>
        </is>
      </c>
    </row>
    <row r="10" ht="28" customHeight="1">
      <c r="A10" s="50" t="inlineStr">
        <is>
          <t>Lote 06 — Utensílios Gerais (Cl. C)</t>
        </is>
      </c>
      <c r="B10" s="70" t="inlineStr">
        <is>
          <t>OF
30–45 d</t>
        </is>
      </c>
      <c r="C10" s="78" t="inlineStr">
        <is>
          <t>—</t>
        </is>
      </c>
      <c r="D10" s="78" t="inlineStr">
        <is>
          <t>—</t>
        </is>
      </c>
      <c r="E10" s="78" t="inlineStr">
        <is>
          <t>—</t>
        </is>
      </c>
      <c r="F10" s="78" t="inlineStr">
        <is>
          <t>—</t>
        </is>
      </c>
      <c r="G10" s="78" t="inlineStr">
        <is>
          <t>—</t>
        </is>
      </c>
      <c r="H10" s="72" t="inlineStr">
        <is>
          <t>OF
45–60 d</t>
        </is>
      </c>
      <c r="I10" s="78" t="inlineStr">
        <is>
          <t>—</t>
        </is>
      </c>
      <c r="J10" s="78" t="inlineStr">
        <is>
          <t>—</t>
        </is>
      </c>
      <c r="K10" s="78" t="inlineStr">
        <is>
          <t>—</t>
        </is>
      </c>
      <c r="L10" s="78" t="inlineStr">
        <is>
          <t>—</t>
        </is>
      </c>
      <c r="M10" s="73" t="inlineStr">
        <is>
          <t>OF
30 d</t>
        </is>
      </c>
    </row>
    <row r="12" ht="16" customHeight="1">
      <c r="A12" s="4" t="inlineStr">
        <is>
          <t xml:space="preserve">  OF = Ordem de Fornecimento emitida com ≥20 dias de antecedência.  Cheia (azul): cobertura 30–45 dias.  Seca (laranja): cobertura 45–60 dias (ERE).  Transição (verde): cobertura 30 dias.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2026-03-13T01:09:39Z</dcterms:created>
  <dcterms:modified xmlns:dcterms="http://purl.org/dc/terms/" xmlns:xsi="http://www.w3.org/2001/XMLSchema-instance" xsi:type="dcterms:W3CDTF">2026-03-13T01:09:39Z</dcterms:modified>
</cp:coreProperties>
</file>